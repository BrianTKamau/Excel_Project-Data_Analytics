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Data Analytics\Excel_Data_Analytics_Course\2_Formulas_Functions\"/>
    </mc:Choice>
  </mc:AlternateContent>
  <xr:revisionPtr revIDLastSave="0" documentId="13_ncr:1_{40F3E811-D387-4B4F-8CDC-CB6C806BAAC9}" xr6:coauthVersionLast="47" xr6:coauthVersionMax="47" xr10:uidLastSave="{00000000-0000-0000-0000-000000000000}"/>
  <bookViews>
    <workbookView xWindow="-110" yWindow="-110" windowWidth="19420" windowHeight="1030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0" l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" i="10"/>
  <c r="S3" i="10" a="1"/>
  <c r="S3" i="10"/>
  <c r="S4" i="10" a="1"/>
  <c r="S4" i="10" s="1"/>
  <c r="S5" i="10" a="1"/>
  <c r="S5" i="10" s="1"/>
  <c r="S6" i="10" a="1"/>
  <c r="S6" i="10"/>
  <c r="S7" i="10" a="1"/>
  <c r="S7" i="10"/>
  <c r="S8" i="10" a="1"/>
  <c r="S8" i="10" s="1"/>
  <c r="S9" i="10" a="1"/>
  <c r="S9" i="10" s="1"/>
  <c r="S10" i="10" a="1"/>
  <c r="S10" i="10"/>
  <c r="S11" i="10" a="1"/>
  <c r="S11" i="10"/>
  <c r="S12" i="10" a="1"/>
  <c r="S12" i="10" s="1"/>
  <c r="S13" i="10" a="1"/>
  <c r="S13" i="10" s="1"/>
  <c r="S14" i="10" a="1"/>
  <c r="S14" i="10"/>
  <c r="S15" i="10" a="1"/>
  <c r="S15" i="10"/>
  <c r="S16" i="10" a="1"/>
  <c r="S16" i="10" s="1"/>
  <c r="S17" i="10" a="1"/>
  <c r="S17" i="10" s="1"/>
  <c r="S18" i="10" a="1"/>
  <c r="S18" i="10"/>
  <c r="S19" i="10" a="1"/>
  <c r="S19" i="10"/>
  <c r="S20" i="10" a="1"/>
  <c r="S20" i="10" s="1"/>
  <c r="S21" i="10" a="1"/>
  <c r="S21" i="10" s="1"/>
  <c r="S2" i="10" a="1"/>
  <c r="S2" i="10" s="1"/>
  <c r="R3" i="10" a="1"/>
  <c r="R3" i="10" s="1"/>
  <c r="R4" i="10" a="1"/>
  <c r="R4" i="10" s="1"/>
  <c r="R5" i="10" a="1"/>
  <c r="R5" i="10"/>
  <c r="R6" i="10" a="1"/>
  <c r="R6" i="10"/>
  <c r="R7" i="10" a="1"/>
  <c r="R7" i="10" s="1"/>
  <c r="R8" i="10" a="1"/>
  <c r="R8" i="10" s="1"/>
  <c r="R9" i="10" a="1"/>
  <c r="R9" i="10"/>
  <c r="R10" i="10" a="1"/>
  <c r="R10" i="10"/>
  <c r="R11" i="10" a="1"/>
  <c r="R11" i="10" s="1"/>
  <c r="R12" i="10" a="1"/>
  <c r="R12" i="10" s="1"/>
  <c r="R13" i="10" a="1"/>
  <c r="R13" i="10"/>
  <c r="R14" i="10" a="1"/>
  <c r="R14" i="10"/>
  <c r="R15" i="10" a="1"/>
  <c r="R15" i="10" s="1"/>
  <c r="R16" i="10" a="1"/>
  <c r="R16" i="10" s="1"/>
  <c r="R17" i="10" a="1"/>
  <c r="R17" i="10"/>
  <c r="R18" i="10" a="1"/>
  <c r="R18" i="10"/>
  <c r="R19" i="10" a="1"/>
  <c r="R19" i="10" s="1"/>
  <c r="R20" i="10" a="1"/>
  <c r="R20" i="10" s="1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P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 l="1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<sst xmlns="http://schemas.openxmlformats.org/spreadsheetml/2006/main" count="401" uniqueCount="150">
  <si>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</si>
  <si>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</si>
  <si>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</si>
  <si>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</si>
  <si>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</si>
  <si>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</si>
  <si>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</si>
  <si>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</si>
  <si>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</si>
  <si>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</si>
  <si>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</si>
  <si>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</si>
  <si>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</si>
  <si>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</si>
  <si>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</si>
  <si>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</si>
  <si>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</si>
  <si>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</si>
  <si>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</si>
  <si>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</si>
  <si>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</si>
  <si>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</si>
  <si>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</si>
  <si>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</si>
  <si>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</si>
  <si>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</si>
  <si>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</si>
  <si>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</si>
  <si>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</si>
  <si>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</si>
  <si>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</si>
  <si>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</si>
  <si>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</si>
  <si>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</si>
  <si>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</si>
  <si>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</si>
  <si>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</si>
  <si>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</si>
  <si>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</si>
  <si>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</si>
  <si>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</si>
  <si>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</si>
  <si>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</si>
  <si>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</si>
  <si>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</si>
  <si>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</si>
  <si>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</si>
  <si>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</si>
  <si>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</si>
  <si>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</si>
  <si>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</si>
  <si>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</si>
  <si>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</si>
  <si>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</si>
  <si>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</si>
  <si>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</si>
  <si>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</si>
  <si>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</si>
  <si>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</si>
  <si>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</si>
  <si>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</si>
  <si>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</si>
  <si>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</si>
  <si>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</si>
  <si>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</si>
  <si>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</si>
  <si>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</si>
  <si>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</si>
  <si>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</si>
  <si>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</si>
  <si>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</si>
  <si>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</si>
  <si>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</si>
  <si>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</si>
  <si>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</si>
  <si>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</si>
  <si>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</si>
  <si>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</si>
  <si>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</si>
  <si>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</si>
  <si>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</si>
  <si>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</si>
  <si>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</si>
  <si>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</si>
  <si>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</si>
  <si>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</si>
  <si>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</si>
  <si>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</si>
  <si>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</si>
  <si>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</si>
  <si>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</si>
  <si>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</si>
  <si>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</si>
  <si>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</si>
  <si>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</si>
  <si>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</si>
  <si>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</si>
  <si>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</si>
  <si>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</si>
  <si>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</si>
  <si>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</si>
  <si>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</si>
  <si>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</si>
  <si>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</si>
  <si>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</si>
  <si>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</si>
  <si>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</si>
  <si>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</si>
  <si>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</si>
  <si>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</si>
  <si>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</si>
  <si>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</si>
  <si>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</si>
  <si>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</si>
  <si>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</si>
  <si>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</si>
  <si>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</si>
  <si>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</si>
  <si>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</si>
  <si>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</si>
  <si>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</si>
  <si>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</si>
  <si>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</si>
  <si>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</si>
  <si>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</si>
  <si>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</si>
  <si>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</si>
  <si>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</si>
  <si>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</si>
  <si>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</si>
  <si>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</si>
  <si>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</si>
  <si>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</si>
  <si>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</si>
  <si>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</si>
  <si>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</si>
  <si>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</si>
  <si>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</si>
  <si>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</si>
  <si>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</si>
  <si>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</si>
  <si>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</si>
  <si>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</si>
  <si>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</si>
  <si>
    <t>NB!!!-Nested IF, acts same as OR)</t>
  </si>
  <si>
    <t>IF((OR))</t>
  </si>
  <si>
    <t>NOT PREFFERED</t>
  </si>
  <si>
    <t>BEST</t>
  </si>
  <si>
    <t>SECONDED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</si>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</sst>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0" fontId="2" fillId="0" borderId="0" xfId="0" applyFont="1"/>
    <xf numFmtId="0" fontId="7" fillId="4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Q4" sqref="Q4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6328125" style="1" hidden="1" customWidth="1"/>
    <col min="17" max="17" width="9.63281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T23"/>
  <sheetViews>
    <sheetView tabSelected="1" workbookViewId="0">
      <selection activeCell="M8" sqref="M8"/>
    </sheetView>
  </sheetViews>
  <sheetFormatPr defaultRowHeight="14.5" x14ac:dyDescent="0.35"/>
  <cols>
    <col min="1" max="1" width="16.81640625" bestFit="1" customWidth="1"/>
    <col min="2" max="2" width="19.179687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34.1796875" hidden="1" customWidth="1"/>
    <col min="11" max="11" width="11.453125" bestFit="1" customWidth="1"/>
    <col min="12" max="12" width="14.7265625" bestFit="1" customWidth="1"/>
    <col min="13" max="13" width="14.7265625" customWidth="1"/>
    <col min="14" max="14" width="11.08984375" customWidth="1"/>
    <col min="15" max="15" width="14.7265625" customWidth="1"/>
    <col min="16" max="16" width="11.54296875" customWidth="1"/>
    <col min="17" max="17" width="10.453125" customWidth="1"/>
    <col min="18" max="19" width="9.7265625" bestFit="1" customWidth="1"/>
  </cols>
  <sheetData>
    <row r="1" spans="1:20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20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IF(A2=$K$1,"Role Desired","Not Desired")</f>
        <v>Not Desired</v>
      </c>
      <c r="L2" t="str">
        <f>IF($L$1=A2,"Role Desired","Not Desired")</f>
        <v>Not Desired</v>
      </c>
      <c r="M2" t="str">
        <f>IF(A2=$K$1,"Role Desired",IF($L$1=A2,"Role Desired","Not Desired"))</f>
        <v>Not Desired</v>
      </c>
      <c r="N2" t="b">
        <f>AND(A2=$K$1,A2=$L$1)</f>
        <v>0</v>
      </c>
      <c r="O2" t="b">
        <f>OR(A2=$K$1,A2=$L$1)</f>
        <v>0</v>
      </c>
      <c r="P2" t="str">
        <f>IF(OR(A2=$K$1,A2=$L$1),"Role Desired","Not Desired")</f>
        <v>Not Desired</v>
      </c>
      <c r="Q2" t="str">
        <f>IF($H2&gt;$Q$1,"Salary&gt;85K","Salary Low")</f>
        <v>Salary&gt;85K</v>
      </c>
      <c r="R2" t="str" cm="1">
        <f t="array" ref="R2">_xlfn.IFS($H2="","No Data",$H2&gt;=$Q$1,"Salary&gt;85K",TRUE,"SalaryLow")</f>
        <v>Salary&gt;85K</v>
      </c>
      <c r="S2" s="49" t="str" cm="1">
        <f t="array" ref="S2">_xlfn.IFS($H2="","No Data",$H2&gt;=$Q$1,"Salary&gt;85K",$H2&lt;$Q$1,"SalaryLow")</f>
        <v>Salary&gt;85K</v>
      </c>
      <c r="T2" t="str">
        <f>IF($H2="","No Data",IF($H2&gt;=$Q$1,"Salary&gt;85K","Salary Low"))</f>
        <v>Salary&gt;85K</v>
      </c>
    </row>
    <row r="3" spans="1:20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IF(A3=$K$1,"Role Desired","Not Desired")</f>
        <v>Role Desired</v>
      </c>
      <c r="L3" t="str">
        <f t="shared" ref="L3:L21" si="1">IF($L$1=A3,"Role Desired","Not Desired")</f>
        <v>Not Desired</v>
      </c>
      <c r="M3" t="str">
        <f t="shared" ref="M3:M21" si="2">IF(A3=$K$1,"Role Desired",IF($L$1=A3,"Role Desired","Not Desired"))</f>
        <v>Role Desired</v>
      </c>
      <c r="N3" t="b">
        <f t="shared" ref="N3:N22" si="3">AND(A3=$K$1,A3=$L$1)</f>
        <v>0</v>
      </c>
      <c r="O3" t="b">
        <f t="shared" ref="O3:O22" si="4">OR(A3=$K$1,A3=$L$1)</f>
        <v>1</v>
      </c>
      <c r="P3" t="str">
        <f t="shared" ref="P3:P22" si="5">IF(OR(A3=$K$1,A3=$L$1),"Role Desired","Not Desired")</f>
        <v>Role Desired</v>
      </c>
      <c r="Q3" t="str">
        <f t="shared" ref="Q3:Q22" si="6">IF($H3&gt;$Q$1,"Salary&gt;85K","Salary Low")</f>
        <v>Salary Low</v>
      </c>
      <c r="R3" t="str" cm="1">
        <f t="array" ref="R3">_xlfn.IFS($H3="","No Data",$H3&gt;=$Q$1,"Salary&gt;85K",TRUE,"SalaryLow")</f>
        <v>SalaryLow</v>
      </c>
      <c r="S3" s="49" t="str" cm="1">
        <f t="array" ref="S3">_xlfn.IFS($H3="","No Data",$H3&gt;=$Q$1,"Salary&gt;85K",$H3&lt;$Q$1,"SalaryLow")</f>
        <v>SalaryLow</v>
      </c>
      <c r="T3" t="str">
        <f t="shared" ref="T3:T22" si="7">IF($H3="","No Data",IF($H3&gt;=$Q$1,"Salary&gt;85K","Salary Low"))</f>
        <v>Salary Low</v>
      </c>
    </row>
    <row r="4" spans="1:20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_xlfn.IFS($H4="","No Data",$H4&gt;=$Q$1,"Salary&gt;85K",TRUE,"SalaryLow")</f>
        <v>No Data</v>
      </c>
      <c r="S4" s="49" t="str" cm="1">
        <f t="array" ref="S4">_xlfn.IFS($H4="","No Data",$H4&gt;=$Q$1,"Salary&gt;85K",$H4&lt;$Q$1,"SalaryLow")</f>
        <v>No Data</v>
      </c>
      <c r="T4" t="str">
        <f t="shared" si="7"/>
        <v>No Data</v>
      </c>
    </row>
    <row r="5" spans="1:20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_xlfn.IFS($H5="","No Data",$H5&gt;=$Q$1,"Salary&gt;85K",TRUE,"SalaryLow")</f>
        <v>No Data</v>
      </c>
      <c r="S5" s="49" t="str" cm="1">
        <f t="array" ref="S5">_xlfn.IFS($H5="","No Data",$H5&gt;=$Q$1,"Salary&gt;85K",$H5&lt;$Q$1,"SalaryLow")</f>
        <v>No Data</v>
      </c>
      <c r="T5" t="str">
        <f t="shared" si="7"/>
        <v>No Data</v>
      </c>
    </row>
    <row r="6" spans="1:20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_xlfn.IFS($H6="","No Data",$H6&gt;=$Q$1,"Salary&gt;85K",TRUE,"SalaryLow")</f>
        <v>No Data</v>
      </c>
      <c r="S6" s="49" t="str" cm="1">
        <f t="array" ref="S6">_xlfn.IFS($H6="","No Data",$H6&gt;=$Q$1,"Salary&gt;85K",$H6&lt;$Q$1,"SalaryLow")</f>
        <v>No Data</v>
      </c>
      <c r="T6" t="str">
        <f t="shared" si="7"/>
        <v>No Data</v>
      </c>
    </row>
    <row r="7" spans="1:20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_xlfn.IFS($H7="","No Data",$H7&gt;=$Q$1,"Salary&gt;85K",TRUE,"SalaryLow")</f>
        <v>No Data</v>
      </c>
      <c r="S7" s="49" t="str" cm="1">
        <f t="array" ref="S7">_xlfn.IFS($H7="","No Data",$H7&gt;=$Q$1,"Salary&gt;85K",$H7&lt;$Q$1,"SalaryLow")</f>
        <v>No Data</v>
      </c>
      <c r="T7" t="str">
        <f t="shared" si="7"/>
        <v>No Data</v>
      </c>
    </row>
    <row r="8" spans="1:20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_xlfn.IFS($H8="","No Data",$H8&gt;=$Q$1,"Salary&gt;85K",TRUE,"SalaryLow")</f>
        <v>No Data</v>
      </c>
      <c r="S8" s="49" t="str" cm="1">
        <f t="array" ref="S8">_xlfn.IFS($H8="","No Data",$H8&gt;=$Q$1,"Salary&gt;85K",$H8&lt;$Q$1,"SalaryLow")</f>
        <v>No Data</v>
      </c>
      <c r="T8" t="str">
        <f t="shared" si="7"/>
        <v>No Data</v>
      </c>
    </row>
    <row r="9" spans="1:20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_xlfn.IFS($H9="","No Data",$H9&gt;=$Q$1,"Salary&gt;85K",TRUE,"SalaryLow")</f>
        <v>Salary&gt;85K</v>
      </c>
      <c r="S9" s="49" t="str" cm="1">
        <f t="array" ref="S9">_xlfn.IFS($H9="","No Data",$H9&gt;=$Q$1,"Salary&gt;85K",$H9&lt;$Q$1,"SalaryLow")</f>
        <v>Salary&gt;85K</v>
      </c>
      <c r="T9" t="str">
        <f t="shared" si="7"/>
        <v>Salary&gt;85K</v>
      </c>
    </row>
    <row r="10" spans="1:20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_xlfn.IFS($H10="","No Data",$H10&gt;=$Q$1,"Salary&gt;85K",TRUE,"SalaryLow")</f>
        <v>No Data</v>
      </c>
      <c r="S10" s="49" t="str" cm="1">
        <f t="array" ref="S10">_xlfn.IFS($H10="","No Data",$H10&gt;=$Q$1,"Salary&gt;85K",$H10&lt;$Q$1,"SalaryLow")</f>
        <v>No Data</v>
      </c>
      <c r="T10" t="str">
        <f t="shared" si="7"/>
        <v>No Data</v>
      </c>
    </row>
    <row r="11" spans="1:20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_xlfn.IFS($H11="","No Data",$H11&gt;=$Q$1,"Salary&gt;85K",TRUE,"SalaryLow")</f>
        <v>Salary&gt;85K</v>
      </c>
      <c r="S11" s="49" t="str" cm="1">
        <f t="array" ref="S11">_xlfn.IFS($H11="","No Data",$H11&gt;=$Q$1,"Salary&gt;85K",$H11&lt;$Q$1,"SalaryLow")</f>
        <v>Salary&gt;85K</v>
      </c>
      <c r="T11" t="str">
        <f t="shared" si="7"/>
        <v>Salary&gt;85K</v>
      </c>
    </row>
    <row r="12" spans="1:20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_xlfn.IFS($H12="","No Data",$H12&gt;=$Q$1,"Salary&gt;85K",TRUE,"SalaryLow")</f>
        <v>Salary&gt;85K</v>
      </c>
      <c r="S12" s="49" t="str" cm="1">
        <f t="array" ref="S12">_xlfn.IFS($H12="","No Data",$H12&gt;=$Q$1,"Salary&gt;85K",$H12&lt;$Q$1,"SalaryLow")</f>
        <v>Salary&gt;85K</v>
      </c>
      <c r="T12" t="str">
        <f t="shared" si="7"/>
        <v>Salary&gt;85K</v>
      </c>
    </row>
    <row r="13" spans="1:20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_xlfn.IFS($H13="","No Data",$H13&gt;=$Q$1,"Salary&gt;85K",TRUE,"SalaryLow")</f>
        <v>Salary&gt;85K</v>
      </c>
      <c r="S13" s="49" t="str" cm="1">
        <f t="array" ref="S13">_xlfn.IFS($H13="","No Data",$H13&gt;=$Q$1,"Salary&gt;85K",$H13&lt;$Q$1,"SalaryLow")</f>
        <v>Salary&gt;85K</v>
      </c>
      <c r="T13" t="str">
        <f t="shared" si="7"/>
        <v>Salary&gt;85K</v>
      </c>
    </row>
    <row r="14" spans="1:20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_xlfn.IFS($H14="","No Data",$H14&gt;=$Q$1,"Salary&gt;85K",TRUE,"SalaryLow")</f>
        <v>Salary&gt;85K</v>
      </c>
      <c r="S14" s="49" t="str" cm="1">
        <f t="array" ref="S14">_xlfn.IFS($H14="","No Data",$H14&gt;=$Q$1,"Salary&gt;85K",$H14&lt;$Q$1,"SalaryLow")</f>
        <v>Salary&gt;85K</v>
      </c>
      <c r="T14" t="str">
        <f t="shared" si="7"/>
        <v>Salary&gt;85K</v>
      </c>
    </row>
    <row r="15" spans="1:20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_xlfn.IFS($H15="","No Data",$H15&gt;=$Q$1,"Salary&gt;85K",TRUE,"SalaryLow")</f>
        <v>SalaryLow</v>
      </c>
      <c r="S15" s="49" t="str" cm="1">
        <f t="array" ref="S15">_xlfn.IFS($H15="","No Data",$H15&gt;=$Q$1,"Salary&gt;85K",$H15&lt;$Q$1,"SalaryLow")</f>
        <v>SalaryLow</v>
      </c>
      <c r="T15" t="str">
        <f t="shared" si="7"/>
        <v>Salary Low</v>
      </c>
    </row>
    <row r="16" spans="1:20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_xlfn.IFS($H16="","No Data",$H16&gt;=$Q$1,"Salary&gt;85K",TRUE,"SalaryLow")</f>
        <v>Salary&gt;85K</v>
      </c>
      <c r="S16" s="49" t="str" cm="1">
        <f t="array" ref="S16">_xlfn.IFS($H16="","No Data",$H16&gt;=$Q$1,"Salary&gt;85K",$H16&lt;$Q$1,"SalaryLow")</f>
        <v>Salary&gt;85K</v>
      </c>
      <c r="T16" t="str">
        <f t="shared" si="7"/>
        <v>Salary&gt;85K</v>
      </c>
    </row>
    <row r="17" spans="1:20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_xlfn.IFS($H17="","No Data",$H17&gt;=$Q$1,"Salary&gt;85K",TRUE,"SalaryLow")</f>
        <v>Salary&gt;85K</v>
      </c>
      <c r="S17" s="49" t="str" cm="1">
        <f t="array" ref="S17">_xlfn.IFS($H17="","No Data",$H17&gt;=$Q$1,"Salary&gt;85K",$H17&lt;$Q$1,"SalaryLow")</f>
        <v>Salary&gt;85K</v>
      </c>
      <c r="T17" t="str">
        <f t="shared" si="7"/>
        <v>Salary&gt;85K</v>
      </c>
    </row>
    <row r="18" spans="1:20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_xlfn.IFS($H18="","No Data",$H18&gt;=$Q$1,"Salary&gt;85K",TRUE,"SalaryLow")</f>
        <v>No Data</v>
      </c>
      <c r="S18" s="49" t="str" cm="1">
        <f t="array" ref="S18">_xlfn.IFS($H18="","No Data",$H18&gt;=$Q$1,"Salary&gt;85K",$H18&lt;$Q$1,"SalaryLow")</f>
        <v>No Data</v>
      </c>
      <c r="T18" t="str">
        <f t="shared" si="7"/>
        <v>No Data</v>
      </c>
    </row>
    <row r="19" spans="1:20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_xlfn.IFS($H19="","No Data",$H19&gt;=$Q$1,"Salary&gt;85K",TRUE,"SalaryLow")</f>
        <v>Salary&gt;85K</v>
      </c>
      <c r="S19" s="49" t="str" cm="1">
        <f t="array" ref="S19">_xlfn.IFS($H19="","No Data",$H19&gt;=$Q$1,"Salary&gt;85K",$H19&lt;$Q$1,"SalaryLow")</f>
        <v>Salary&gt;85K</v>
      </c>
      <c r="T19" t="str">
        <f t="shared" si="7"/>
        <v>Salary&gt;85K</v>
      </c>
    </row>
    <row r="20" spans="1:20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_xlfn.IFS($H20="","No Data",$H20&gt;=$Q$1,"Salary&gt;85K",TRUE,"SalaryLow")</f>
        <v>No Data</v>
      </c>
      <c r="S20" s="49" t="str" cm="1">
        <f t="array" ref="S20">_xlfn.IFS($H20="","No Data",$H20&gt;=$Q$1,"Salary&gt;85K",$H20&lt;$Q$1,"SalaryLow")</f>
        <v>No Data</v>
      </c>
      <c r="T20" t="str">
        <f t="shared" si="7"/>
        <v>No Data</v>
      </c>
    </row>
    <row r="21" spans="1:20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_xlfn.IFS($H21="","No Data",$H21&gt;=$Q$1,"Salary&gt;85K",TRUE,"SalaryLow")</f>
        <v>Salary&gt;85K</v>
      </c>
      <c r="S21" s="49" t="str" cm="1">
        <f t="array" ref="S21">_xlfn.IFS($H21="","No Data",$H21&gt;=$Q$1,"Salary&gt;85K",$H21&lt;$Q$1,"SalaryLow")</f>
        <v>Salary&gt;85K</v>
      </c>
      <c r="T21" t="str">
        <f t="shared" si="7"/>
        <v>Salary&gt;85K</v>
      </c>
    </row>
    <row r="22" spans="1:20" x14ac:dyDescent="0.35">
      <c r="M22" s="48" t="s">
        <v>144</v>
      </c>
      <c r="P22" s="48" t="s">
        <v>145</v>
      </c>
      <c r="R22" s="48" t="s">
        <v>147</v>
      </c>
      <c r="S22" s="48" t="s">
        <v>146</v>
      </c>
      <c r="T22" s="48" t="s">
        <v>148</v>
      </c>
    </row>
    <row r="23" spans="1:20" x14ac:dyDescent="0.35">
      <c r="R23" s="51" t="s">
        <v>149</v>
      </c>
      <c r="S23" s="50"/>
      <c r="T23" s="50"/>
    </row>
  </sheetData>
  <mergeCells count="1">
    <mergeCell ref="R23:T23"/>
  </mergeCells>
  <conditionalFormatting sqref="O2:O21">
    <cfRule type="containsText" dxfId="5" priority="6" operator="containsText" text="tRUE">
      <formula>NOT(ISERROR(SEARCH("tRUE",O2)))</formula>
    </cfRule>
  </conditionalFormatting>
  <conditionalFormatting sqref="P2:P21">
    <cfRule type="containsText" dxfId="4" priority="5" operator="containsText" text="Role Desired">
      <formula>NOT(ISERROR(SEARCH("Role Desired",P2)))</formula>
    </cfRule>
  </conditionalFormatting>
  <conditionalFormatting sqref="Q1:Q1048576">
    <cfRule type="containsText" dxfId="3" priority="4" operator="containsText" text="SALARY&gt;80K">
      <formula>NOT(ISERROR(SEARCH("SALARY&gt;80K",Q1)))</formula>
    </cfRule>
  </conditionalFormatting>
  <conditionalFormatting sqref="Q2:Q21">
    <cfRule type="containsText" dxfId="2" priority="3" operator="containsText" text="salary&gt;85K">
      <formula>NOT(ISERROR(SEARCH("salary&gt;85K",Q2)))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9BDB174-B1B6-4B3E-AA3E-95421DACF1C3}">
            <xm:f>NOT(ISERROR(SEARCH($R$2,R2)))</xm:f>
            <xm:f>$R$2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" operator="containsText" id="{12DD9896-3C32-4129-90A0-D2AF48A01636}">
            <xm:f>NOT(ISERROR(SEARCH($R$4,R2)))</xm:f>
            <xm:f>$R$4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R2:R21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0.632812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F3" sqref="F3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HomePC</cp:lastModifiedBy>
  <dcterms:created xsi:type="dcterms:W3CDTF">2024-07-16T20:11:02Z</dcterms:created>
  <dcterms:modified xsi:type="dcterms:W3CDTF">2026-10-05T21:03:07Z</dcterms:modified>
</cp:coreProperties>
</file>