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HomePC\Downloads\Data Analytics\Excel_Data_Analytics_Course\2_Formulas_Functions\"/>
    </mc:Choice>
  </mc:AlternateContent>
  <xr:revisionPtr revIDLastSave="0" documentId="13_ncr:1_{4799DC30-4A24-4191-B553-F98BE583F8F0}" xr6:coauthVersionLast="47" xr6:coauthVersionMax="47" xr10:uidLastSave="{00000000-0000-0000-0000-000000000000}"/>
  <bookViews>
    <workbookView xWindow="-110" yWindow="-110" windowWidth="19420" windowHeight="10300"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Skills!$D$8:$E$8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S3" i="8"/>
  <c r="U3" i="8" s="1"/>
  <c r="T3" i="8"/>
  <c r="S4" i="8"/>
  <c r="U4" i="8" s="1"/>
  <c r="T4" i="8"/>
  <c r="S5" i="8"/>
  <c r="T5" i="8"/>
  <c r="U5" i="8"/>
  <c r="S6" i="8"/>
  <c r="T6" i="8" s="1"/>
  <c r="S7" i="8"/>
  <c r="T7" i="8" s="1"/>
  <c r="S8" i="8"/>
  <c r="T8" i="8"/>
  <c r="U8" i="8"/>
  <c r="S9" i="8"/>
  <c r="T9" i="8"/>
  <c r="U9" i="8"/>
  <c r="S10" i="8"/>
  <c r="T10" i="8"/>
  <c r="U10" i="8"/>
  <c r="S11" i="8"/>
  <c r="U11" i="8" s="1"/>
  <c r="T11" i="8"/>
  <c r="S12" i="8"/>
  <c r="U12" i="8" s="1"/>
  <c r="T12" i="8"/>
  <c r="S13" i="8"/>
  <c r="T13" i="8"/>
  <c r="U13" i="8"/>
  <c r="S14" i="8"/>
  <c r="T14" i="8" s="1"/>
  <c r="S15" i="8"/>
  <c r="T15" i="8" s="1"/>
  <c r="S16" i="8"/>
  <c r="T16" i="8"/>
  <c r="U16" i="8"/>
  <c r="S17" i="8"/>
  <c r="T17" i="8"/>
  <c r="U17" i="8"/>
  <c r="S18" i="8"/>
  <c r="T18" i="8"/>
  <c r="U18" i="8"/>
  <c r="S19" i="8"/>
  <c r="U19" i="8" s="1"/>
  <c r="T19" i="8"/>
  <c r="S20" i="8"/>
  <c r="U20" i="8" s="1"/>
  <c r="T20" i="8"/>
  <c r="S21" i="8"/>
  <c r="T21" i="8"/>
  <c r="U21" i="8"/>
  <c r="U2" i="8"/>
  <c r="S2" i="8"/>
  <c r="N3" i="8"/>
  <c r="N4" i="8"/>
  <c r="N5" i="8"/>
  <c r="N6" i="8"/>
  <c r="N7" i="8"/>
  <c r="N8" i="8"/>
  <c r="N9" i="8"/>
  <c r="N10" i="8"/>
  <c r="N11" i="8"/>
  <c r="N12" i="8"/>
  <c r="N13" i="8"/>
  <c r="N14" i="8"/>
  <c r="N15" i="8"/>
  <c r="N16" i="8"/>
  <c r="N17" i="8"/>
  <c r="N18" i="8"/>
  <c r="N19" i="8"/>
  <c r="N20" i="8"/>
  <c r="N21" i="8"/>
  <c r="N2" i="8"/>
  <c r="L3" i="8"/>
  <c r="L4" i="8"/>
  <c r="L5" i="8"/>
  <c r="L6" i="8"/>
  <c r="L7" i="8"/>
  <c r="L8" i="8"/>
  <c r="L9" i="8"/>
  <c r="L10" i="8"/>
  <c r="L11" i="8"/>
  <c r="L12" i="8"/>
  <c r="L13" i="8"/>
  <c r="L14" i="8"/>
  <c r="L15" i="8"/>
  <c r="L16" i="8"/>
  <c r="L17" i="8"/>
  <c r="L18" i="8"/>
  <c r="L19" i="8"/>
  <c r="L20" i="8"/>
  <c r="L21" i="8"/>
  <c r="L2" i="8"/>
  <c r="U15" i="8" l="1"/>
  <c r="U7" i="8"/>
  <c r="U14" i="8"/>
  <c r="U6" i="8"/>
  <c r="T2" i="8"/>
  <c r="P3" i="8" l="1"/>
  <c r="Q3" i="8" s="1"/>
  <c r="P4" i="8"/>
  <c r="Q4" i="8" s="1"/>
  <c r="R4" i="8" s="1"/>
  <c r="P5" i="8"/>
  <c r="Q5" i="8" s="1"/>
  <c r="P6" i="8"/>
  <c r="Q6" i="8" s="1"/>
  <c r="R6" i="8" s="1"/>
  <c r="P7" i="8"/>
  <c r="Q7" i="8" s="1"/>
  <c r="R7" i="8" s="1"/>
  <c r="P8" i="8"/>
  <c r="Q8" i="8" s="1"/>
  <c r="P9" i="8"/>
  <c r="P10" i="8"/>
  <c r="P11" i="8"/>
  <c r="P12" i="8"/>
  <c r="P13" i="8"/>
  <c r="P14" i="8"/>
  <c r="P15" i="8"/>
  <c r="P16" i="8"/>
  <c r="Q16" i="8" s="1"/>
  <c r="R16" i="8" s="1"/>
  <c r="P17" i="8"/>
  <c r="Q17" i="8" s="1"/>
  <c r="R17" i="8" s="1"/>
  <c r="P18" i="8"/>
  <c r="Q18" i="8" s="1"/>
  <c r="P19" i="8"/>
  <c r="Q19" i="8" s="1"/>
  <c r="R19" i="8" s="1"/>
  <c r="P20" i="8"/>
  <c r="P21" i="8"/>
  <c r="Q21" i="8" s="1"/>
  <c r="P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Q20" i="8" l="1"/>
  <c r="R20" i="8" s="1"/>
  <c r="R18" i="8"/>
  <c r="R3" i="8"/>
  <c r="R21" i="8"/>
  <c r="R8" i="8"/>
  <c r="R5" i="8"/>
  <c r="Q9" i="8"/>
  <c r="R9" i="8" s="1"/>
  <c r="Q10" i="8"/>
  <c r="R10" i="8" s="1"/>
  <c r="Q11" i="8"/>
  <c r="R11" i="8" s="1"/>
  <c r="Q12" i="8"/>
  <c r="R12" i="8" s="1"/>
  <c r="Q13" i="8"/>
  <c r="R13" i="8" s="1"/>
  <c r="Q14" i="8"/>
  <c r="R14" i="8" s="1"/>
  <c r="Q15" i="8"/>
  <c r="R15" i="8" s="1"/>
  <c r="Q2" i="8"/>
  <c r="R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<sst xmlns="http://schemas.openxmlformats.org/spreadsheetml/2006/main" count="668" uniqueCount="138">
  <si>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</si>
  <si>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</si>
  <si>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</si>
  <si>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</si>
  <si>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</si>
  <si>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</si>
  <si>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</si>
  <si>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</si>
  <si>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</si>
  <si>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</si>
  <si>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</si>
  <si>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</si>
  <si>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</si>
  <si>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</si>
  <si>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</si>
  <si>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</si>
  <si>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</si>
  <si>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</si>
  <si>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</si>
  <si>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</si>
  <si>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</si>
  <si>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</si>
  <si>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</si>
  <si>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</si>
  <si>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</si>
  <si>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</si>
  <si>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</si>
  <si>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</si>
  <si>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</si>
  <si>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</si>
  <si>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</si>
  <si>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</si>
  <si>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</si>
  <si>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</si>
  <si>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</si>
  <si>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</si>
  <si>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</si>
  <si>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</si>
  <si>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</si>
  <si>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</si>
  <si>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</si>
  <si>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</si>
  <si>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</si>
  <si>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</si>
  <si>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</si>
  <si>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</si>
  <si>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</si>
  <si>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</si>
  <si>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</si>
  <si>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</si>
  <si>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</si>
  <si>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</si>
  <si>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</si>
  <si>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</si>
  <si>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</si>
  <si>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</si>
  <si>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</si>
  <si>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</si>
  <si>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</si>
  <si>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</si>
  <si>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</si>
  <si>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</si>
  <si>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</si>
  <si>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</si>
  <si>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</si>
  <si>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</si>
  <si>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</si>
  <si>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</si>
  <si>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</si>
  <si>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</si>
  <si>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</si>
  <si>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</si>
  <si>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</si>
  <si>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</si>
  <si>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</si>
  <si>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</si>
  <si>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</si>
  <si>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</si>
  <si>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</si>
  <si>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</si>
  <si>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</si>
  <si>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</si>
  <si>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</si>
  <si>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</si>
  <si>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</si>
  <si>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</si>
  <si>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</si>
  <si>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</si>
  <si>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</si>
  <si>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</si>
  <si>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</si>
  <si>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</si>
  <si>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</si>
  <si>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</si>
  <si>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</si>
  <si>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Pam</t>
  </si>
  <si>
    <t>Michael</t>
  </si>
  <si>
    <t>Kevin</t>
  </si>
  <si>
    <t>Jim</t>
  </si>
  <si>
    <t>Ryan</t>
  </si>
  <si>
    <t>Stanley</t>
  </si>
  <si>
    <t>Angela</t>
  </si>
  <si>
    <t>Dwight</t>
  </si>
  <si>
    <t>Oscar</t>
  </si>
  <si>
    <t>Phyllis</t>
  </si>
  <si>
    <t>Meredith</t>
  </si>
  <si>
    <t>Kelly</t>
  </si>
  <si>
    <t>Beesly</t>
  </si>
  <si>
    <t>Scott</t>
  </si>
  <si>
    <t>Malone</t>
  </si>
  <si>
    <t>Halpert</t>
  </si>
  <si>
    <t>Howard</t>
  </si>
  <si>
    <t>Hudson</t>
  </si>
  <si>
    <t>Martin</t>
  </si>
  <si>
    <t>Schrute</t>
  </si>
  <si>
    <t>Martinez</t>
  </si>
  <si>
    <t>Vance</t>
  </si>
  <si>
    <t>Palmer</t>
  </si>
  <si>
    <t>Kapoor</t>
  </si>
  <si>
    <t>Flash Fill (Keyboard Shortcut)</t>
  </si>
  <si>
    <t>Kafka</t>
  </si>
  <si>
    <t>DataBricks</t>
  </si>
  <si>
    <t>Spark</t>
  </si>
  <si>
    <t>Python</t>
  </si>
  <si>
    <t>GCP</t>
  </si>
  <si>
    <t>Power BI</t>
  </si>
  <si>
    <t>Airflow</t>
  </si>
  <si>
    <t>Hadoop</t>
  </si>
  <si>
    <t>R</t>
  </si>
  <si>
    <t>Azure</t>
  </si>
  <si>
    <t>Java</t>
  </si>
  <si>
    <t>SQL</t>
  </si>
  <si>
    <t>Snowflake</t>
  </si>
  <si>
    <t>Scala</t>
  </si>
  <si>
    <t>Excel</t>
  </si>
  <si>
    <t>Tableau</t>
  </si>
  <si>
    <t>Jobs</t>
  </si>
  <si>
    <t>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</si>
</sst>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5"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3" fillId="0" borderId="1" xfId="0" applyFont="1" applyBorder="1"/>
    <xf numFmtId="0" fontId="3" fillId="0" borderId="7" xfId="0" applyFont="1" applyBorder="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Skill Count of Applicants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Skills!$D$9:$D$24</c:f>
              <c:strCache>
                <c:ptCount val="16"/>
                <c:pt idx="0">
                  <c:v>DataBricks</c:v>
                </c:pt>
                <c:pt idx="1">
                  <c:v>Hadoop</c:v>
                </c:pt>
                <c:pt idx="2">
                  <c:v>Java</c:v>
                </c:pt>
                <c:pt idx="3">
                  <c:v>Airflow</c:v>
                </c:pt>
                <c:pt idx="4">
                  <c:v>R</c:v>
                </c:pt>
                <c:pt idx="5">
                  <c:v>Power BI</c:v>
                </c:pt>
                <c:pt idx="6">
                  <c:v>Snowflake</c:v>
                </c:pt>
                <c:pt idx="7">
                  <c:v>Scala</c:v>
                </c:pt>
                <c:pt idx="8">
                  <c:v>GCP</c:v>
                </c:pt>
                <c:pt idx="9">
                  <c:v>Azure</c:v>
                </c:pt>
                <c:pt idx="10">
                  <c:v>SQL</c:v>
                </c:pt>
                <c:pt idx="11">
                  <c:v>Kafka</c:v>
                </c:pt>
                <c:pt idx="12">
                  <c:v>Spark</c:v>
                </c:pt>
                <c:pt idx="13">
                  <c:v>Python</c:v>
                </c:pt>
                <c:pt idx="14">
                  <c:v>Excel</c:v>
                </c:pt>
                <c:pt idx="15">
                  <c:v>Tableau</c:v>
                </c:pt>
              </c:strCache>
            </c:strRef>
          </c:cat>
          <c:val>
            <c:numRef>
              <c:f>Skills!$E$9:$E$24</c:f>
              <c:numCache>
                <c:formatCode>General</c:formatCode>
                <c:ptCount val="16"/>
                <c:pt idx="0">
                  <c:v>12</c:v>
                </c:pt>
                <c:pt idx="1">
                  <c:v>7</c:v>
                </c:pt>
                <c:pt idx="2">
                  <c:v>7</c:v>
                </c:pt>
                <c:pt idx="3">
                  <c:v>6</c:v>
                </c:pt>
                <c:pt idx="4">
                  <c:v>6</c:v>
                </c:pt>
                <c:pt idx="5">
                  <c:v>5</c:v>
                </c:pt>
                <c:pt idx="6">
                  <c:v>5</c:v>
                </c:pt>
                <c:pt idx="7">
                  <c:v>5</c:v>
                </c:pt>
                <c:pt idx="8">
                  <c:v>4</c:v>
                </c:pt>
                <c:pt idx="9">
                  <c:v>4</c:v>
                </c:pt>
                <c:pt idx="10">
                  <c:v>4</c:v>
                </c:pt>
                <c:pt idx="11">
                  <c:v>3</c:v>
                </c:pt>
                <c:pt idx="12">
                  <c:v>2</c:v>
                </c:pt>
                <c:pt idx="13">
                  <c:v>2</c:v>
                </c:pt>
                <c:pt idx="14">
                  <c:v>2</c:v>
                </c:pt>
                <c:pt idx="15">
                  <c:v>1</c:v>
                </c:pt>
              </c:numCache>
            </c:numRef>
          </c:val>
          <c:extLst>
            <c:ext xmlns:c16="http://schemas.microsoft.com/office/drawing/2014/chart" uri="{C3380CC4-5D6E-409C-BE32-E72D297353CC}">
              <c16:uniqueId val="{00000000-CB45-40F5-8A97-1482270DA596}"/>
            </c:ext>
          </c:extLst>
        </c:ser>
        <c:dLbls>
          <c:showLegendKey val="0"/>
          <c:showVal val="0"/>
          <c:showCatName val="0"/>
          <c:showSerName val="0"/>
          <c:showPercent val="0"/>
          <c:showBubbleSize val="0"/>
        </c:dLbls>
        <c:gapWidth val="182"/>
        <c:axId val="797902863"/>
        <c:axId val="706014479"/>
      </c:barChart>
      <c:catAx>
        <c:axId val="79790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14479"/>
        <c:crosses val="autoZero"/>
        <c:auto val="1"/>
        <c:lblAlgn val="ctr"/>
        <c:lblOffset val="100"/>
        <c:noMultiLvlLbl val="0"/>
      </c:catAx>
      <c:valAx>
        <c:axId val="70601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02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59796</xdr:colOff>
      <xdr:row>8</xdr:row>
      <xdr:rowOff>28575</xdr:rowOff>
    </xdr:from>
    <xdr:to>
      <xdr:col>14</xdr:col>
      <xdr:colOff>109539</xdr:colOff>
      <xdr:row>26</xdr:row>
      <xdr:rowOff>101600</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370416</xdr:colOff>
      <xdr:row>8</xdr:row>
      <xdr:rowOff>6879</xdr:rowOff>
    </xdr:from>
    <xdr:to>
      <xdr:col>14</xdr:col>
      <xdr:colOff>98135</xdr:colOff>
      <xdr:row>27</xdr:row>
      <xdr:rowOff>138546</xdr:rowOff>
    </xdr:to>
    <xdr:graphicFrame macro="">
      <xdr:nvGraphicFramePr>
        <xdr:cNvPr id="4" name="Chart 3">
          <a:extLst>
            <a:ext uri="{FF2B5EF4-FFF2-40B4-BE49-F238E27FC236}">
              <a16:creationId xmlns:a16="http://schemas.microsoft.com/office/drawing/2014/main" id="{D5EC5D11-9DD8-2131-07C7-B7544B382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U23"/>
  <sheetViews>
    <sheetView zoomScale="80" zoomScaleNormal="80" workbookViewId="0">
      <selection activeCell="H29" sqref="B29:H29"/>
    </sheetView>
  </sheetViews>
  <sheetFormatPr defaultRowHeight="14.5" x14ac:dyDescent="0.35"/>
  <cols>
    <col min="1" max="1" width="17.6328125" customWidth="1"/>
    <col min="2" max="4" width="14.26953125" customWidth="1"/>
    <col min="5" max="5" width="27.26953125" hidden="1" customWidth="1"/>
    <col min="6" max="6" width="22" style="9" hidden="1" customWidth="1"/>
    <col min="7" max="7" width="26.26953125" hidden="1" customWidth="1"/>
    <col min="8" max="8" width="11" customWidth="1"/>
    <col min="9" max="9" width="22" customWidth="1"/>
    <col min="10" max="10" width="40" customWidth="1"/>
    <col min="11" max="11" width="8.81640625" customWidth="1"/>
    <col min="12" max="12" width="34.7265625" customWidth="1"/>
    <col min="13" max="13" width="8.81640625" customWidth="1"/>
    <col min="14" max="14" width="16.36328125" customWidth="1"/>
    <col min="16" max="18" width="0" hidden="1" customWidth="1"/>
  </cols>
  <sheetData>
    <row r="1" spans="1:21" x14ac:dyDescent="0.35">
      <c r="A1" s="2" t="s">
        <v>69</v>
      </c>
      <c r="B1" s="3" t="s">
        <v>2</v>
      </c>
      <c r="C1" s="20" t="s">
        <v>65</v>
      </c>
      <c r="D1" s="20" t="s">
        <v>66</v>
      </c>
      <c r="E1" s="3" t="s">
        <v>3</v>
      </c>
      <c r="F1" s="10" t="s">
        <v>92</v>
      </c>
      <c r="G1" s="3" t="s">
        <v>0</v>
      </c>
      <c r="H1" s="3" t="s">
        <v>21</v>
      </c>
      <c r="I1" s="3" t="s">
        <v>22</v>
      </c>
      <c r="J1" s="4" t="s">
        <v>4</v>
      </c>
      <c r="L1" s="14" t="s">
        <v>62</v>
      </c>
      <c r="N1" s="14" t="s">
        <v>91</v>
      </c>
      <c r="P1" s="17" t="s">
        <v>64</v>
      </c>
      <c r="Q1" s="17"/>
      <c r="R1" s="17"/>
      <c r="S1" s="17" t="s">
        <v>64</v>
      </c>
      <c r="T1" s="17"/>
      <c r="U1" s="17"/>
    </row>
    <row r="2" spans="1:21" x14ac:dyDescent="0.35">
      <c r="A2" s="5" t="s">
        <v>72</v>
      </c>
      <c r="B2" s="1" t="s">
        <v>42</v>
      </c>
      <c r="C2" s="18" t="s">
        <v>95</v>
      </c>
      <c r="D2" s="18" t="s">
        <v>107</v>
      </c>
      <c r="E2" s="1" t="s">
        <v>1</v>
      </c>
      <c r="F2" s="11">
        <v>44971.640451388892</v>
      </c>
      <c r="G2" s="1" t="s">
        <v>43</v>
      </c>
      <c r="H2" s="1" t="s">
        <v>23</v>
      </c>
      <c r="I2" s="1" t="s">
        <v>24</v>
      </c>
      <c r="J2" s="6" t="s">
        <v>11</v>
      </c>
      <c r="L2" t="str">
        <f>_xlfn.TEXTJOIN(" ",TRUE,H2:I2)</f>
        <v>457 Oak St San Jose, CA, 95101</v>
      </c>
      <c r="N2" t="str">
        <f>RIGHT(A2,5)</f>
        <v>23548</v>
      </c>
      <c r="P2">
        <f>FIND(",", I2)+LEN(", ")</f>
        <v>11</v>
      </c>
      <c r="Q2">
        <f>FIND(",",I2,P2)</f>
        <v>13</v>
      </c>
      <c r="R2" t="str">
        <f>MID(I2,P2,Q2-P2)</f>
        <v>CA</v>
      </c>
      <c r="S2">
        <f>FIND(",",I2)+LEN(", ")</f>
        <v>11</v>
      </c>
      <c r="T2">
        <f>FIND(",",I2,S2)</f>
        <v>13</v>
      </c>
      <c r="U2" t="str">
        <f>MID(I2,S2,T2-S2)</f>
        <v>CA</v>
      </c>
    </row>
    <row r="3" spans="1:21" x14ac:dyDescent="0.35">
      <c r="A3" s="5" t="s">
        <v>71</v>
      </c>
      <c r="B3" s="1" t="s">
        <v>38</v>
      </c>
      <c r="C3" s="18" t="s">
        <v>96</v>
      </c>
      <c r="D3" s="18" t="s">
        <v>108</v>
      </c>
      <c r="E3" s="1" t="s">
        <v>5</v>
      </c>
      <c r="F3" s="11">
        <v>45055.40662037037</v>
      </c>
      <c r="G3" s="1" t="s">
        <v>39</v>
      </c>
      <c r="H3" s="1" t="s">
        <v>25</v>
      </c>
      <c r="I3" s="1" t="s">
        <v>26</v>
      </c>
      <c r="J3" s="6" t="s">
        <v>14</v>
      </c>
      <c r="L3" t="str">
        <f t="shared" ref="L3:L21" si="0">_xlfn.TEXTJOIN(" ",TRUE,H3:I3)</f>
        <v>203 Birch St Chicago, IL, 60601</v>
      </c>
      <c r="N3" t="str">
        <f t="shared" ref="N3:N21" si="1">RIGHT(A3,5)</f>
        <v>23549</v>
      </c>
      <c r="P3">
        <f>FIND(",", I3)+LEN(", ")</f>
        <v>10</v>
      </c>
      <c r="Q3">
        <f>FIND(",",I3,P3)</f>
        <v>12</v>
      </c>
      <c r="R3" t="str">
        <f>MID(I3,P3,Q3-P3)</f>
        <v>IL</v>
      </c>
      <c r="S3">
        <f t="shared" ref="S3:S21" si="2">FIND(",",I3)+LEN(", ")</f>
        <v>10</v>
      </c>
      <c r="T3">
        <f t="shared" ref="T3:T21" si="3">FIND(",",I3,S3)</f>
        <v>12</v>
      </c>
      <c r="U3" t="str">
        <f t="shared" ref="U3:U21" si="4">MID(I3,S3,T3-S3)</f>
        <v>IL</v>
      </c>
    </row>
    <row r="4" spans="1:21" x14ac:dyDescent="0.35">
      <c r="A4" s="5" t="s">
        <v>73</v>
      </c>
      <c r="B4" s="1" t="s">
        <v>58</v>
      </c>
      <c r="C4" s="18" t="s">
        <v>97</v>
      </c>
      <c r="D4" s="18" t="s">
        <v>109</v>
      </c>
      <c r="E4" s="1" t="s">
        <v>12</v>
      </c>
      <c r="F4" s="11">
        <v>45128.729710648149</v>
      </c>
      <c r="G4" s="1" t="s">
        <v>59</v>
      </c>
      <c r="H4" s="1" t="s">
        <v>27</v>
      </c>
      <c r="I4" s="1" t="s">
        <v>26</v>
      </c>
      <c r="J4" s="6" t="s">
        <v>6</v>
      </c>
      <c r="L4" t="str">
        <f t="shared" si="0"/>
        <v>790 Pine St Chicago, IL, 60601</v>
      </c>
      <c r="N4" t="str">
        <f t="shared" si="1"/>
        <v>23550</v>
      </c>
      <c r="P4">
        <f>FIND(",", I4)+LEN(", ")</f>
        <v>10</v>
      </c>
      <c r="Q4">
        <f>FIND(",",I4,P4)</f>
        <v>12</v>
      </c>
      <c r="R4" t="str">
        <f>MID(I4,P4,Q4-P4)</f>
        <v>IL</v>
      </c>
      <c r="S4">
        <f t="shared" si="2"/>
        <v>10</v>
      </c>
      <c r="T4">
        <f t="shared" si="3"/>
        <v>12</v>
      </c>
      <c r="U4" t="str">
        <f t="shared" si="4"/>
        <v>IL</v>
      </c>
    </row>
    <row r="5" spans="1:21" x14ac:dyDescent="0.35">
      <c r="A5" s="5" t="s">
        <v>74</v>
      </c>
      <c r="B5" s="1" t="s">
        <v>42</v>
      </c>
      <c r="C5" s="18" t="s">
        <v>95</v>
      </c>
      <c r="D5" s="18" t="s">
        <v>107</v>
      </c>
      <c r="E5" s="1" t="s">
        <v>5</v>
      </c>
      <c r="F5" s="11">
        <v>45173.302187499998</v>
      </c>
      <c r="G5" s="1" t="s">
        <v>43</v>
      </c>
      <c r="H5" s="1" t="s">
        <v>23</v>
      </c>
      <c r="I5" s="1" t="s">
        <v>24</v>
      </c>
      <c r="J5" s="6" t="s">
        <v>11</v>
      </c>
      <c r="L5" t="str">
        <f t="shared" si="0"/>
        <v>457 Oak St San Jose, CA, 95101</v>
      </c>
      <c r="N5" t="str">
        <f t="shared" si="1"/>
        <v>23551</v>
      </c>
      <c r="P5">
        <f>FIND(",", I5)+LEN(", ")</f>
        <v>11</v>
      </c>
      <c r="Q5">
        <f>FIND(",",I5,P5)</f>
        <v>13</v>
      </c>
      <c r="R5" t="str">
        <f>MID(I5,P5,Q5-P5)</f>
        <v>CA</v>
      </c>
      <c r="S5">
        <f t="shared" si="2"/>
        <v>11</v>
      </c>
      <c r="T5">
        <f t="shared" si="3"/>
        <v>13</v>
      </c>
      <c r="U5" t="str">
        <f t="shared" si="4"/>
        <v>CA</v>
      </c>
    </row>
    <row r="6" spans="1:21" x14ac:dyDescent="0.35">
      <c r="A6" s="5" t="s">
        <v>75</v>
      </c>
      <c r="B6" s="1" t="s">
        <v>40</v>
      </c>
      <c r="C6" s="18" t="s">
        <v>98</v>
      </c>
      <c r="D6" s="18" t="s">
        <v>110</v>
      </c>
      <c r="E6" s="1" t="s">
        <v>7</v>
      </c>
      <c r="F6" s="11">
        <v>45248.70857638889</v>
      </c>
      <c r="G6" s="1" t="s">
        <v>41</v>
      </c>
      <c r="H6" s="1" t="s">
        <v>29</v>
      </c>
      <c r="I6" s="1" t="s">
        <v>30</v>
      </c>
      <c r="J6" s="6" t="s">
        <v>10</v>
      </c>
      <c r="L6" t="str">
        <f t="shared" si="0"/>
        <v>459 Oak St Philadelphia, PA, 19101</v>
      </c>
      <c r="N6" t="str">
        <f t="shared" si="1"/>
        <v>23552</v>
      </c>
      <c r="P6">
        <f>FIND(",", I6)+LEN(", ")</f>
        <v>15</v>
      </c>
      <c r="Q6">
        <f>FIND(",",I6,P6)</f>
        <v>17</v>
      </c>
      <c r="R6" t="str">
        <f>MID(I6,P6,Q6-P6)</f>
        <v>PA</v>
      </c>
      <c r="S6">
        <f t="shared" si="2"/>
        <v>15</v>
      </c>
      <c r="T6">
        <f t="shared" si="3"/>
        <v>17</v>
      </c>
      <c r="U6" t="str">
        <f t="shared" si="4"/>
        <v>PA</v>
      </c>
    </row>
    <row r="7" spans="1:21" x14ac:dyDescent="0.35">
      <c r="A7" s="5" t="s">
        <v>76</v>
      </c>
      <c r="B7" s="1" t="s">
        <v>46</v>
      </c>
      <c r="C7" s="18" t="s">
        <v>99</v>
      </c>
      <c r="D7" s="18" t="s">
        <v>111</v>
      </c>
      <c r="E7" s="1" t="s">
        <v>9</v>
      </c>
      <c r="F7" s="11">
        <v>45302.531921296293</v>
      </c>
      <c r="G7" s="1" t="s">
        <v>47</v>
      </c>
      <c r="H7" s="1" t="s">
        <v>31</v>
      </c>
      <c r="I7" s="1" t="s">
        <v>30</v>
      </c>
      <c r="J7" s="6" t="s">
        <v>15</v>
      </c>
      <c r="L7" t="str">
        <f t="shared" si="0"/>
        <v>204 Birch St Philadelphia, PA, 19101</v>
      </c>
      <c r="N7" t="str">
        <f t="shared" si="1"/>
        <v>23553</v>
      </c>
      <c r="P7">
        <f>FIND(",", I7)+LEN(", ")</f>
        <v>15</v>
      </c>
      <c r="Q7">
        <f>FIND(",",I7,P7)</f>
        <v>17</v>
      </c>
      <c r="R7" t="str">
        <f>MID(I7,P7,Q7-P7)</f>
        <v>PA</v>
      </c>
      <c r="S7">
        <f t="shared" si="2"/>
        <v>15</v>
      </c>
      <c r="T7">
        <f t="shared" si="3"/>
        <v>17</v>
      </c>
      <c r="U7" t="str">
        <f t="shared" si="4"/>
        <v>PA</v>
      </c>
    </row>
    <row r="8" spans="1:21" x14ac:dyDescent="0.35">
      <c r="A8" s="5" t="s">
        <v>77</v>
      </c>
      <c r="B8" s="1" t="s">
        <v>58</v>
      </c>
      <c r="C8" s="18" t="s">
        <v>97</v>
      </c>
      <c r="D8" s="18" t="s">
        <v>109</v>
      </c>
      <c r="E8" s="1" t="s">
        <v>5</v>
      </c>
      <c r="F8" s="11">
        <v>45354.687881944446</v>
      </c>
      <c r="G8" s="1" t="s">
        <v>59</v>
      </c>
      <c r="H8" s="1" t="s">
        <v>27</v>
      </c>
      <c r="I8" s="1" t="s">
        <v>26</v>
      </c>
      <c r="J8" s="6" t="s">
        <v>6</v>
      </c>
      <c r="L8" t="str">
        <f t="shared" si="0"/>
        <v>790 Pine St Chicago, IL, 60601</v>
      </c>
      <c r="N8" t="str">
        <f t="shared" si="1"/>
        <v>23554</v>
      </c>
      <c r="P8">
        <f>FIND(",", I8)+LEN(", ")</f>
        <v>10</v>
      </c>
      <c r="Q8">
        <f>FIND(",",I8,P8)</f>
        <v>12</v>
      </c>
      <c r="R8" t="str">
        <f>MID(I8,P8,Q8-P8)</f>
        <v>IL</v>
      </c>
      <c r="S8">
        <f t="shared" si="2"/>
        <v>10</v>
      </c>
      <c r="T8">
        <f t="shared" si="3"/>
        <v>12</v>
      </c>
      <c r="U8" t="str">
        <f t="shared" si="4"/>
        <v>IL</v>
      </c>
    </row>
    <row r="9" spans="1:21" x14ac:dyDescent="0.35">
      <c r="A9" s="5" t="s">
        <v>78</v>
      </c>
      <c r="B9" s="1" t="s">
        <v>46</v>
      </c>
      <c r="C9" s="18" t="s">
        <v>99</v>
      </c>
      <c r="D9" s="18" t="s">
        <v>111</v>
      </c>
      <c r="E9" s="1" t="s">
        <v>1</v>
      </c>
      <c r="F9" s="11">
        <v>45408.340810185182</v>
      </c>
      <c r="G9" s="1" t="s">
        <v>47</v>
      </c>
      <c r="H9" s="1" t="s">
        <v>31</v>
      </c>
      <c r="I9" s="1" t="s">
        <v>30</v>
      </c>
      <c r="J9" s="6" t="s">
        <v>15</v>
      </c>
      <c r="L9" t="str">
        <f t="shared" si="0"/>
        <v>204 Birch St Philadelphia, PA, 19101</v>
      </c>
      <c r="N9" t="str">
        <f t="shared" si="1"/>
        <v>23555</v>
      </c>
      <c r="P9">
        <f>FIND(",", I9)+LEN(", ")</f>
        <v>15</v>
      </c>
      <c r="Q9">
        <f>FIND(",",I9,P9)</f>
        <v>17</v>
      </c>
      <c r="R9" t="str">
        <f>MID(I9,P9,Q9-P9)</f>
        <v>PA</v>
      </c>
      <c r="S9">
        <f t="shared" si="2"/>
        <v>15</v>
      </c>
      <c r="T9">
        <f t="shared" si="3"/>
        <v>17</v>
      </c>
      <c r="U9" t="str">
        <f t="shared" si="4"/>
        <v>PA</v>
      </c>
    </row>
    <row r="10" spans="1:21" x14ac:dyDescent="0.35">
      <c r="A10" s="5" t="s">
        <v>79</v>
      </c>
      <c r="B10" s="1" t="s">
        <v>50</v>
      </c>
      <c r="C10" s="18" t="s">
        <v>100</v>
      </c>
      <c r="D10" s="18" t="s">
        <v>112</v>
      </c>
      <c r="E10" s="1" t="s">
        <v>7</v>
      </c>
      <c r="F10" s="11">
        <v>45458.743333333332</v>
      </c>
      <c r="G10" s="1" t="s">
        <v>51</v>
      </c>
      <c r="H10" s="1" t="s">
        <v>33</v>
      </c>
      <c r="I10" s="1" t="s">
        <v>26</v>
      </c>
      <c r="J10" s="6" t="s">
        <v>18</v>
      </c>
      <c r="L10" t="str">
        <f t="shared" si="0"/>
        <v>123 Elm St Chicago, IL, 60601</v>
      </c>
      <c r="N10" t="str">
        <f t="shared" si="1"/>
        <v>23556</v>
      </c>
      <c r="P10">
        <f>FIND(",", I10)+LEN(", ")</f>
        <v>10</v>
      </c>
      <c r="Q10">
        <f>FIND(",",I10,P10)</f>
        <v>12</v>
      </c>
      <c r="R10" t="str">
        <f>MID(I10,P10,Q10-P10)</f>
        <v>IL</v>
      </c>
      <c r="S10">
        <f t="shared" si="2"/>
        <v>10</v>
      </c>
      <c r="T10">
        <f t="shared" si="3"/>
        <v>12</v>
      </c>
      <c r="U10" t="str">
        <f t="shared" si="4"/>
        <v>IL</v>
      </c>
    </row>
    <row r="11" spans="1:21" x14ac:dyDescent="0.35">
      <c r="A11" s="5" t="s">
        <v>80</v>
      </c>
      <c r="B11" s="1" t="s">
        <v>54</v>
      </c>
      <c r="C11" s="18" t="s">
        <v>101</v>
      </c>
      <c r="D11" s="18" t="s">
        <v>113</v>
      </c>
      <c r="E11" s="1" t="s">
        <v>12</v>
      </c>
      <c r="F11" s="11">
        <v>45480.608055555553</v>
      </c>
      <c r="G11" s="1" t="s">
        <v>55</v>
      </c>
      <c r="H11" s="1" t="s">
        <v>33</v>
      </c>
      <c r="I11" s="1" t="s">
        <v>32</v>
      </c>
      <c r="J11" s="6" t="s">
        <v>13</v>
      </c>
      <c r="L11" t="str">
        <f t="shared" si="0"/>
        <v>123 Elm St Los Angeles, CA, 90001</v>
      </c>
      <c r="N11" t="str">
        <f t="shared" si="1"/>
        <v>23557</v>
      </c>
      <c r="P11">
        <f>FIND(",", I11)+LEN(", ")</f>
        <v>14</v>
      </c>
      <c r="Q11">
        <f>FIND(",",I11,P11)</f>
        <v>16</v>
      </c>
      <c r="R11" t="str">
        <f>MID(I11,P11,Q11-P11)</f>
        <v>CA</v>
      </c>
      <c r="S11">
        <f t="shared" si="2"/>
        <v>14</v>
      </c>
      <c r="T11">
        <f t="shared" si="3"/>
        <v>16</v>
      </c>
      <c r="U11" t="str">
        <f t="shared" si="4"/>
        <v>CA</v>
      </c>
    </row>
    <row r="12" spans="1:21" x14ac:dyDescent="0.35">
      <c r="A12" s="5" t="s">
        <v>81</v>
      </c>
      <c r="B12" s="1" t="s">
        <v>44</v>
      </c>
      <c r="C12" s="18" t="s">
        <v>102</v>
      </c>
      <c r="D12" s="18" t="s">
        <v>114</v>
      </c>
      <c r="E12" s="1" t="s">
        <v>7</v>
      </c>
      <c r="F12" s="11">
        <v>45455.284930555557</v>
      </c>
      <c r="G12" s="1" t="s">
        <v>45</v>
      </c>
      <c r="H12" s="1" t="s">
        <v>33</v>
      </c>
      <c r="I12" s="1" t="s">
        <v>34</v>
      </c>
      <c r="J12" s="6" t="s">
        <v>17</v>
      </c>
      <c r="L12" t="str">
        <f t="shared" si="0"/>
        <v>123 Elm St San Diego, CA, 92101</v>
      </c>
      <c r="N12" t="str">
        <f t="shared" si="1"/>
        <v>23558</v>
      </c>
      <c r="P12">
        <f>FIND(",", I12)+LEN(", ")</f>
        <v>12</v>
      </c>
      <c r="Q12">
        <f>FIND(",",I12,P12)</f>
        <v>14</v>
      </c>
      <c r="R12" t="str">
        <f>MID(I12,P12,Q12-P12)</f>
        <v>CA</v>
      </c>
      <c r="S12">
        <f t="shared" si="2"/>
        <v>12</v>
      </c>
      <c r="T12">
        <f t="shared" si="3"/>
        <v>14</v>
      </c>
      <c r="U12" t="str">
        <f t="shared" si="4"/>
        <v>CA</v>
      </c>
    </row>
    <row r="13" spans="1:21" x14ac:dyDescent="0.35">
      <c r="A13" s="5" t="s">
        <v>82</v>
      </c>
      <c r="B13" s="1" t="s">
        <v>56</v>
      </c>
      <c r="C13" s="18" t="s">
        <v>103</v>
      </c>
      <c r="D13" s="18" t="s">
        <v>115</v>
      </c>
      <c r="E13" s="1" t="s">
        <v>9</v>
      </c>
      <c r="F13" s="11">
        <v>44951.552141203705</v>
      </c>
      <c r="G13" s="1" t="s">
        <v>57</v>
      </c>
      <c r="H13" s="1" t="s">
        <v>35</v>
      </c>
      <c r="I13" s="1" t="s">
        <v>26</v>
      </c>
      <c r="J13" s="6" t="s">
        <v>16</v>
      </c>
      <c r="L13" t="str">
        <f t="shared" si="0"/>
        <v>202 Birch St Chicago, IL, 60601</v>
      </c>
      <c r="N13" t="str">
        <f t="shared" si="1"/>
        <v>23559</v>
      </c>
      <c r="P13">
        <f>FIND(",", I13)+LEN(", ")</f>
        <v>10</v>
      </c>
      <c r="Q13">
        <f>FIND(",",I13,P13)</f>
        <v>12</v>
      </c>
      <c r="R13" t="str">
        <f>MID(I13,P13,Q13-P13)</f>
        <v>IL</v>
      </c>
      <c r="S13">
        <f t="shared" si="2"/>
        <v>10</v>
      </c>
      <c r="T13">
        <f t="shared" si="3"/>
        <v>12</v>
      </c>
      <c r="U13" t="str">
        <f t="shared" si="4"/>
        <v>IL</v>
      </c>
    </row>
    <row r="14" spans="1:21" x14ac:dyDescent="0.35">
      <c r="A14" s="5" t="s">
        <v>83</v>
      </c>
      <c r="B14" s="1" t="s">
        <v>46</v>
      </c>
      <c r="C14" s="18" t="s">
        <v>99</v>
      </c>
      <c r="D14" s="18" t="s">
        <v>111</v>
      </c>
      <c r="E14" s="1" t="s">
        <v>12</v>
      </c>
      <c r="F14" s="11">
        <v>45002.490034722221</v>
      </c>
      <c r="G14" s="1" t="s">
        <v>47</v>
      </c>
      <c r="H14" s="1" t="s">
        <v>31</v>
      </c>
      <c r="I14" s="1" t="s">
        <v>30</v>
      </c>
      <c r="J14" s="6" t="s">
        <v>15</v>
      </c>
      <c r="L14" t="str">
        <f t="shared" si="0"/>
        <v>204 Birch St Philadelphia, PA, 19101</v>
      </c>
      <c r="N14" t="str">
        <f t="shared" si="1"/>
        <v>23560</v>
      </c>
      <c r="P14">
        <f>FIND(",", I14)+LEN(", ")</f>
        <v>15</v>
      </c>
      <c r="Q14">
        <f>FIND(",",I14,P14)</f>
        <v>17</v>
      </c>
      <c r="R14" t="str">
        <f>MID(I14,P14,Q14-P14)</f>
        <v>PA</v>
      </c>
      <c r="S14">
        <f t="shared" si="2"/>
        <v>15</v>
      </c>
      <c r="T14">
        <f t="shared" si="3"/>
        <v>17</v>
      </c>
      <c r="U14" t="str">
        <f t="shared" si="4"/>
        <v>PA</v>
      </c>
    </row>
    <row r="15" spans="1:21" x14ac:dyDescent="0.35">
      <c r="A15" s="5" t="s">
        <v>84</v>
      </c>
      <c r="B15" s="1" t="s">
        <v>52</v>
      </c>
      <c r="C15" s="18" t="s">
        <v>104</v>
      </c>
      <c r="D15" s="18" t="s">
        <v>116</v>
      </c>
      <c r="E15" s="1" t="s">
        <v>9</v>
      </c>
      <c r="F15" s="11">
        <v>45078.417256944442</v>
      </c>
      <c r="G15" s="1" t="s">
        <v>53</v>
      </c>
      <c r="H15" s="1" t="s">
        <v>33</v>
      </c>
      <c r="I15" s="1" t="s">
        <v>26</v>
      </c>
      <c r="J15" s="6" t="s">
        <v>19</v>
      </c>
      <c r="L15" t="str">
        <f t="shared" si="0"/>
        <v>123 Elm St Chicago, IL, 60601</v>
      </c>
      <c r="N15" t="str">
        <f t="shared" si="1"/>
        <v>23561</v>
      </c>
      <c r="P15">
        <f>FIND(",", I15)+LEN(", ")</f>
        <v>10</v>
      </c>
      <c r="Q15">
        <f>FIND(",",I15,P15)</f>
        <v>12</v>
      </c>
      <c r="R15" t="str">
        <f>MID(I15,P15,Q15-P15)</f>
        <v>IL</v>
      </c>
      <c r="S15">
        <f t="shared" si="2"/>
        <v>10</v>
      </c>
      <c r="T15">
        <f t="shared" si="3"/>
        <v>12</v>
      </c>
      <c r="U15" t="str">
        <f t="shared" si="4"/>
        <v>IL</v>
      </c>
    </row>
    <row r="16" spans="1:21" x14ac:dyDescent="0.35">
      <c r="A16" s="5" t="s">
        <v>85</v>
      </c>
      <c r="B16" s="1" t="s">
        <v>60</v>
      </c>
      <c r="C16" s="18" t="s">
        <v>105</v>
      </c>
      <c r="D16" s="18" t="s">
        <v>117</v>
      </c>
      <c r="E16" s="1" t="s">
        <v>9</v>
      </c>
      <c r="F16" s="11">
        <v>45168.729328703703</v>
      </c>
      <c r="G16" s="1" t="s">
        <v>61</v>
      </c>
      <c r="H16" s="1" t="s">
        <v>28</v>
      </c>
      <c r="I16" s="1" t="s">
        <v>26</v>
      </c>
      <c r="J16" s="6" t="s">
        <v>20</v>
      </c>
      <c r="L16" t="str">
        <f t="shared" si="0"/>
        <v>456 Oak St Chicago, IL, 60601</v>
      </c>
      <c r="N16" t="str">
        <f t="shared" si="1"/>
        <v>23562</v>
      </c>
      <c r="P16">
        <f>FIND(",", I16)+LEN(", ")</f>
        <v>10</v>
      </c>
      <c r="Q16">
        <f>FIND(",",I16,P16)</f>
        <v>12</v>
      </c>
      <c r="R16" t="str">
        <f>MID(I16,P16,Q16-P16)</f>
        <v>IL</v>
      </c>
      <c r="S16">
        <f t="shared" si="2"/>
        <v>10</v>
      </c>
      <c r="T16">
        <f t="shared" si="3"/>
        <v>12</v>
      </c>
      <c r="U16" t="str">
        <f t="shared" si="4"/>
        <v>IL</v>
      </c>
    </row>
    <row r="17" spans="1:21" x14ac:dyDescent="0.35">
      <c r="A17" s="5" t="s">
        <v>86</v>
      </c>
      <c r="B17" s="1" t="s">
        <v>38</v>
      </c>
      <c r="C17" s="18" t="s">
        <v>96</v>
      </c>
      <c r="D17" s="18" t="s">
        <v>108</v>
      </c>
      <c r="E17" s="1" t="s">
        <v>7</v>
      </c>
      <c r="F17" s="11">
        <v>45218.319780092592</v>
      </c>
      <c r="G17" s="1" t="s">
        <v>39</v>
      </c>
      <c r="H17" s="1" t="s">
        <v>25</v>
      </c>
      <c r="I17" s="1" t="s">
        <v>37</v>
      </c>
      <c r="J17" s="6" t="s">
        <v>14</v>
      </c>
      <c r="L17" t="str">
        <f t="shared" si="0"/>
        <v>203 Birch St Chicago, IL, 60602</v>
      </c>
      <c r="N17" t="str">
        <f t="shared" si="1"/>
        <v>23563</v>
      </c>
      <c r="P17">
        <f>FIND(",", I17)+LEN(", ")</f>
        <v>10</v>
      </c>
      <c r="Q17">
        <f>FIND(",",I17,P17)</f>
        <v>12</v>
      </c>
      <c r="R17" t="str">
        <f>MID(I17,P17,Q17-P17)</f>
        <v>IL</v>
      </c>
      <c r="S17">
        <f t="shared" si="2"/>
        <v>10</v>
      </c>
      <c r="T17">
        <f t="shared" si="3"/>
        <v>12</v>
      </c>
      <c r="U17" t="str">
        <f t="shared" si="4"/>
        <v>IL</v>
      </c>
    </row>
    <row r="18" spans="1:21" x14ac:dyDescent="0.35">
      <c r="A18" s="5" t="s">
        <v>87</v>
      </c>
      <c r="B18" s="1" t="s">
        <v>40</v>
      </c>
      <c r="C18" s="18" t="s">
        <v>98</v>
      </c>
      <c r="D18" s="18" t="s">
        <v>110</v>
      </c>
      <c r="E18" s="1" t="s">
        <v>12</v>
      </c>
      <c r="F18" s="11">
        <v>45350.719236111108</v>
      </c>
      <c r="G18" s="1" t="s">
        <v>41</v>
      </c>
      <c r="H18" s="1" t="s">
        <v>29</v>
      </c>
      <c r="I18" s="1" t="s">
        <v>30</v>
      </c>
      <c r="J18" s="6" t="s">
        <v>10</v>
      </c>
      <c r="L18" t="str">
        <f t="shared" si="0"/>
        <v>459 Oak St Philadelphia, PA, 19101</v>
      </c>
      <c r="N18" t="str">
        <f t="shared" si="1"/>
        <v>23564</v>
      </c>
      <c r="P18">
        <f>FIND(",", I18)+LEN(", ")</f>
        <v>15</v>
      </c>
      <c r="Q18">
        <f>FIND(",",I18,P18)</f>
        <v>17</v>
      </c>
      <c r="R18" t="str">
        <f>MID(I18,P18,Q18-P18)</f>
        <v>PA</v>
      </c>
      <c r="S18">
        <f t="shared" si="2"/>
        <v>15</v>
      </c>
      <c r="T18">
        <f t="shared" si="3"/>
        <v>17</v>
      </c>
      <c r="U18" t="str">
        <f t="shared" si="4"/>
        <v>PA</v>
      </c>
    </row>
    <row r="19" spans="1:21" x14ac:dyDescent="0.35">
      <c r="A19" s="5" t="s">
        <v>88</v>
      </c>
      <c r="B19" s="1" t="s">
        <v>48</v>
      </c>
      <c r="C19" s="18" t="s">
        <v>106</v>
      </c>
      <c r="D19" s="18" t="s">
        <v>118</v>
      </c>
      <c r="E19" s="1" t="s">
        <v>7</v>
      </c>
      <c r="F19" s="11">
        <v>45418.726354166669</v>
      </c>
      <c r="G19" s="1" t="s">
        <v>49</v>
      </c>
      <c r="H19" s="1" t="s">
        <v>28</v>
      </c>
      <c r="I19" s="1" t="s">
        <v>36</v>
      </c>
      <c r="J19" s="6" t="s">
        <v>8</v>
      </c>
      <c r="L19" t="str">
        <f t="shared" si="0"/>
        <v>456 Oak St New York, NY, 10001</v>
      </c>
      <c r="N19" t="str">
        <f t="shared" si="1"/>
        <v>23565</v>
      </c>
      <c r="P19">
        <f>FIND(",", I19)+LEN(", ")</f>
        <v>11</v>
      </c>
      <c r="Q19">
        <f>FIND(",",I19,P19)</f>
        <v>13</v>
      </c>
      <c r="R19" t="str">
        <f>MID(I19,P19,Q19-P19)</f>
        <v>NY</v>
      </c>
      <c r="S19">
        <f t="shared" si="2"/>
        <v>11</v>
      </c>
      <c r="T19">
        <f t="shared" si="3"/>
        <v>13</v>
      </c>
      <c r="U19" t="str">
        <f t="shared" si="4"/>
        <v>NY</v>
      </c>
    </row>
    <row r="20" spans="1:21" x14ac:dyDescent="0.35">
      <c r="A20" s="5" t="s">
        <v>89</v>
      </c>
      <c r="B20" s="1" t="s">
        <v>40</v>
      </c>
      <c r="C20" s="18" t="s">
        <v>98</v>
      </c>
      <c r="D20" s="18" t="s">
        <v>110</v>
      </c>
      <c r="E20" s="1" t="s">
        <v>9</v>
      </c>
      <c r="F20" s="11">
        <v>45496.291701388887</v>
      </c>
      <c r="G20" s="1" t="s">
        <v>41</v>
      </c>
      <c r="H20" s="1" t="s">
        <v>29</v>
      </c>
      <c r="I20" s="1" t="s">
        <v>30</v>
      </c>
      <c r="J20" s="6" t="s">
        <v>10</v>
      </c>
      <c r="L20" t="str">
        <f t="shared" si="0"/>
        <v>459 Oak St Philadelphia, PA, 19101</v>
      </c>
      <c r="N20" t="str">
        <f t="shared" si="1"/>
        <v>23566</v>
      </c>
      <c r="P20">
        <f>FIND(",", I20)+LEN(", ")</f>
        <v>15</v>
      </c>
      <c r="Q20">
        <f>FIND(",",I20,P20)</f>
        <v>17</v>
      </c>
      <c r="R20" t="str">
        <f>MID(I20,P20,Q20-P20)</f>
        <v>PA</v>
      </c>
      <c r="S20">
        <f t="shared" si="2"/>
        <v>15</v>
      </c>
      <c r="T20">
        <f t="shared" si="3"/>
        <v>17</v>
      </c>
      <c r="U20" t="str">
        <f t="shared" si="4"/>
        <v>PA</v>
      </c>
    </row>
    <row r="21" spans="1:21" ht="15" thickBot="1" x14ac:dyDescent="0.4">
      <c r="A21" s="5" t="s">
        <v>90</v>
      </c>
      <c r="B21" s="7" t="s">
        <v>40</v>
      </c>
      <c r="C21" s="19" t="s">
        <v>98</v>
      </c>
      <c r="D21" s="19" t="s">
        <v>110</v>
      </c>
      <c r="E21" s="7" t="s">
        <v>9</v>
      </c>
      <c r="F21" s="12">
        <v>45422.739884259259</v>
      </c>
      <c r="G21" s="7" t="s">
        <v>41</v>
      </c>
      <c r="H21" s="7" t="s">
        <v>29</v>
      </c>
      <c r="I21" s="7" t="s">
        <v>36</v>
      </c>
      <c r="J21" s="8" t="s">
        <v>10</v>
      </c>
      <c r="L21" t="str">
        <f t="shared" si="0"/>
        <v>459 Oak St New York, NY, 10001</v>
      </c>
      <c r="N21" t="str">
        <f t="shared" si="1"/>
        <v>23567</v>
      </c>
      <c r="P21">
        <f>FIND(",", I21)+LEN(", ")</f>
        <v>11</v>
      </c>
      <c r="Q21">
        <f>FIND(",",I21,P21)</f>
        <v>13</v>
      </c>
      <c r="R21" t="str">
        <f>MID(I21,P21,Q21-P21)</f>
        <v>NY</v>
      </c>
      <c r="S21">
        <f t="shared" si="2"/>
        <v>11</v>
      </c>
      <c r="T21">
        <f t="shared" si="3"/>
        <v>13</v>
      </c>
      <c r="U21" t="str">
        <f t="shared" si="4"/>
        <v>NY</v>
      </c>
    </row>
    <row r="23" spans="1:21" x14ac:dyDescent="0.35">
      <c r="C23" s="13" t="s">
        <v>119</v>
      </c>
      <c r="D23" s="13"/>
    </row>
  </sheetData>
  <sortState xmlns:xlrd2="http://schemas.microsoft.com/office/spreadsheetml/2017/richdata2" ref="B2:J22">
    <sortCondition ref="F1:F22"/>
  </sortState>
  <mergeCells count="2">
    <mergeCell ref="P1:R1"/>
    <mergeCell ref="S1:U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H1" workbookViewId="0">
      <selection activeCell="I2" sqref="I2"/>
    </sheetView>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G23" sqref="G23"/>
    </sheetView>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7" zoomScale="110" zoomScaleNormal="110" workbookViewId="0">
      <selection activeCell="F15" sqref="F15"/>
    </sheetView>
  </sheetViews>
  <sheetFormatPr defaultRowHeight="14.5" x14ac:dyDescent="0.35"/>
  <cols>
    <col min="1" max="1" width="24.36328125" customWidth="1"/>
  </cols>
  <sheetData>
    <row r="2" spans="1:75" x14ac:dyDescent="0.35">
      <c r="A2" s="15" t="s">
        <v>94</v>
      </c>
      <c r="B2" s="16"/>
    </row>
    <row r="3" spans="1:75" x14ac:dyDescent="0.35">
      <c r="A3" t="str">
        <f>_xlfn.TEXTJOIN(", ",TRUE,Data!J2:J21)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5" t="s">
        <v>67</v>
      </c>
      <c r="B5" s="16"/>
    </row>
    <row r="6" spans="1:75" x14ac:dyDescent="0.35">
      <c r="A6" t="str" cm="1">
        <f t="array" ref="A6:BW6">TRANSPOSE(_xlfn.FILTERXML("&lt;t&gt;&lt;s&gt;" &amp; SUBSTITUTE(SUBSTITUTE(A3, "&amp;", "and"), ", ", "&lt;/s&gt;&lt;s&gt;") &amp; "&lt;/s&gt;&lt;/t&gt;", "//s"))</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5" t="s">
        <v>68</v>
      </c>
      <c r="B8" s="15" t="s">
        <v>93</v>
      </c>
      <c r="C8" s="16"/>
      <c r="D8" s="14" t="s">
        <v>136</v>
      </c>
      <c r="E8" s="14" t="s">
        <v>137</v>
      </c>
      <c r="F8" s="16"/>
    </row>
    <row r="9" spans="1:75" x14ac:dyDescent="0.35">
      <c r="A9" s="1" t="str" cm="1">
        <f t="array" ref="A9:A25">_xlfn.UNIQUE(TRANSPOSE(6:6))</f>
        <v>Kafka</v>
      </c>
      <c r="B9" s="1">
        <f>COUNTIF($6:$6,A9)</f>
        <v>3</v>
      </c>
      <c r="D9" t="s">
        <v>121</v>
      </c>
      <c r="E9">
        <v>12</v>
      </c>
    </row>
    <row r="10" spans="1:75" x14ac:dyDescent="0.35">
      <c r="A10" s="1" t="str">
        <v>DataBricks</v>
      </c>
      <c r="B10" s="1">
        <f t="shared" ref="B10:B25" si="0">COUNTIF($6:$6,A10)</f>
        <v>12</v>
      </c>
      <c r="D10" t="s">
        <v>127</v>
      </c>
      <c r="E10">
        <v>7</v>
      </c>
    </row>
    <row r="11" spans="1:75" x14ac:dyDescent="0.35">
      <c r="A11" s="1" t="str">
        <v>Spark</v>
      </c>
      <c r="B11" s="1">
        <f t="shared" si="0"/>
        <v>2</v>
      </c>
      <c r="D11" t="s">
        <v>130</v>
      </c>
      <c r="E11">
        <v>7</v>
      </c>
    </row>
    <row r="12" spans="1:75" x14ac:dyDescent="0.35">
      <c r="A12" s="1" t="str">
        <v>Python</v>
      </c>
      <c r="B12" s="1">
        <f t="shared" si="0"/>
        <v>2</v>
      </c>
      <c r="D12" t="s">
        <v>126</v>
      </c>
      <c r="E12">
        <v>6</v>
      </c>
    </row>
    <row r="13" spans="1:75" x14ac:dyDescent="0.35">
      <c r="A13" s="1" t="str">
        <v>GCP</v>
      </c>
      <c r="B13" s="1">
        <f t="shared" si="0"/>
        <v>4</v>
      </c>
      <c r="D13" t="s">
        <v>128</v>
      </c>
      <c r="E13">
        <v>6</v>
      </c>
    </row>
    <row r="14" spans="1:75" x14ac:dyDescent="0.35">
      <c r="A14" s="1" t="str">
        <v>Power BI</v>
      </c>
      <c r="B14" s="1">
        <f t="shared" si="0"/>
        <v>5</v>
      </c>
      <c r="D14" t="s">
        <v>125</v>
      </c>
      <c r="E14">
        <v>5</v>
      </c>
    </row>
    <row r="15" spans="1:75" x14ac:dyDescent="0.35">
      <c r="A15" s="1" t="str">
        <v>Airflow</v>
      </c>
      <c r="B15" s="1">
        <f t="shared" si="0"/>
        <v>6</v>
      </c>
      <c r="D15" t="s">
        <v>132</v>
      </c>
      <c r="E15">
        <v>5</v>
      </c>
    </row>
    <row r="16" spans="1:75" x14ac:dyDescent="0.35">
      <c r="A16" s="1" t="str">
        <v>Hadoop</v>
      </c>
      <c r="B16" s="1">
        <f t="shared" si="0"/>
        <v>7</v>
      </c>
      <c r="D16" t="s">
        <v>133</v>
      </c>
      <c r="E16">
        <v>5</v>
      </c>
    </row>
    <row r="17" spans="1:5" x14ac:dyDescent="0.35">
      <c r="A17" s="1" t="str">
        <v>R</v>
      </c>
      <c r="B17" s="1">
        <f t="shared" si="0"/>
        <v>6</v>
      </c>
      <c r="D17" t="s">
        <v>124</v>
      </c>
      <c r="E17">
        <v>4</v>
      </c>
    </row>
    <row r="18" spans="1:5" x14ac:dyDescent="0.35">
      <c r="A18" s="1" t="str">
        <v>Azure</v>
      </c>
      <c r="B18" s="1">
        <f t="shared" si="0"/>
        <v>4</v>
      </c>
      <c r="D18" t="s">
        <v>129</v>
      </c>
      <c r="E18">
        <v>4</v>
      </c>
    </row>
    <row r="19" spans="1:5" x14ac:dyDescent="0.35">
      <c r="A19" s="1" t="str">
        <v>Java</v>
      </c>
      <c r="B19" s="1">
        <f t="shared" si="0"/>
        <v>7</v>
      </c>
      <c r="D19" t="s">
        <v>131</v>
      </c>
      <c r="E19">
        <v>4</v>
      </c>
    </row>
    <row r="20" spans="1:5" x14ac:dyDescent="0.35">
      <c r="A20" s="1" t="str">
        <v>SQL</v>
      </c>
      <c r="B20" s="1">
        <f t="shared" si="0"/>
        <v>4</v>
      </c>
      <c r="D20" t="s">
        <v>120</v>
      </c>
      <c r="E20">
        <v>3</v>
      </c>
    </row>
    <row r="21" spans="1:5" x14ac:dyDescent="0.35">
      <c r="A21" s="1" t="str">
        <v>Snowflake</v>
      </c>
      <c r="B21" s="1">
        <f t="shared" si="0"/>
        <v>5</v>
      </c>
      <c r="D21" t="s">
        <v>122</v>
      </c>
      <c r="E21">
        <v>2</v>
      </c>
    </row>
    <row r="22" spans="1:5" x14ac:dyDescent="0.35">
      <c r="A22" s="1" t="str">
        <v>Scala</v>
      </c>
      <c r="B22" s="1">
        <f t="shared" si="0"/>
        <v>5</v>
      </c>
      <c r="D22" t="s">
        <v>123</v>
      </c>
      <c r="E22">
        <v>2</v>
      </c>
    </row>
    <row r="23" spans="1:5" x14ac:dyDescent="0.35">
      <c r="A23" s="1" t="str">
        <v>Excel</v>
      </c>
      <c r="B23" s="1">
        <f t="shared" si="0"/>
        <v>2</v>
      </c>
      <c r="D23" t="s">
        <v>134</v>
      </c>
      <c r="E23">
        <v>2</v>
      </c>
    </row>
    <row r="24" spans="1:5" x14ac:dyDescent="0.35">
      <c r="A24" s="1" t="str">
        <v>Tableau</v>
      </c>
      <c r="B24" s="1">
        <f t="shared" si="0"/>
        <v>1</v>
      </c>
      <c r="D24" t="s">
        <v>135</v>
      </c>
      <c r="E24">
        <v>1</v>
      </c>
    </row>
    <row r="25" spans="1:5" x14ac:dyDescent="0.35">
      <c r="A25" s="1">
        <v>0</v>
      </c>
      <c r="B25" s="1">
        <f t="shared" si="0"/>
        <v>0</v>
      </c>
    </row>
  </sheetData>
  <autoFilter ref="D8:E8" xr:uid="{85789AE4-586B-4DA1-B069-1172780CDADC}">
    <sortState xmlns:xlrd2="http://schemas.microsoft.com/office/spreadsheetml/2017/richdata2" ref="D9:E24">
      <sortCondition descending="1" ref="E8"/>
    </sortState>
  </autoFilter>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HomePC</cp:lastModifiedBy>
  <dcterms:created xsi:type="dcterms:W3CDTF">2015-06-05T18:17:20Z</dcterms:created>
  <dcterms:modified xsi:type="dcterms:W3CDTF">2026-10-07T02:29:09Z</dcterms:modified>
</cp:coreProperties>
</file>